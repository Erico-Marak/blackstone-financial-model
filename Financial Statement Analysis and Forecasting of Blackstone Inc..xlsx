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ss\OneDrive\Desktop\Blackstone\"/>
    </mc:Choice>
  </mc:AlternateContent>
  <xr:revisionPtr revIDLastSave="0" documentId="13_ncr:1_{3CF5BEF2-16EB-46A7-8C8C-48DE0C35257F}" xr6:coauthVersionLast="47" xr6:coauthVersionMax="47" xr10:uidLastSave="{00000000-0000-0000-0000-000000000000}"/>
  <bookViews>
    <workbookView xWindow="2244" yWindow="1776" windowWidth="17280" windowHeight="11748" xr2:uid="{1B83CCA6-E29B-430D-9C37-2D73EDC62C79}"/>
  </bookViews>
  <sheets>
    <sheet name="Sheet1" sheetId="1" r:id="rId1"/>
    <sheet name="Forecast Model" sheetId="2" r:id="rId2"/>
    <sheet name="DCF Valu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C13" i="1"/>
  <c r="D13" i="1"/>
  <c r="C14" i="1"/>
  <c r="D14" i="1"/>
  <c r="C15" i="1"/>
  <c r="D15" i="1"/>
  <c r="C16" i="1"/>
  <c r="D16" i="1"/>
  <c r="B3" i="3"/>
  <c r="B4" i="3" s="1"/>
  <c r="C3" i="3"/>
  <c r="C4" i="3" s="1"/>
  <c r="D3" i="3"/>
  <c r="D4" i="3" s="1"/>
  <c r="D5" i="3"/>
  <c r="D6" i="3" s="1"/>
  <c r="D8" i="2"/>
  <c r="E8" i="2" s="1"/>
  <c r="F8" i="2" s="1"/>
  <c r="G8" i="2" s="1"/>
  <c r="C8" i="2"/>
  <c r="B8" i="2"/>
  <c r="D7" i="2"/>
  <c r="D9" i="2" s="1"/>
  <c r="C7" i="2"/>
  <c r="B7" i="2"/>
  <c r="D6" i="2"/>
  <c r="C6" i="2"/>
  <c r="B6" i="2"/>
  <c r="D5" i="2"/>
  <c r="E5" i="2" s="1"/>
  <c r="C5" i="2"/>
  <c r="B5" i="2"/>
  <c r="F5" i="2" l="1"/>
  <c r="E6" i="2"/>
  <c r="E7" i="2" s="1"/>
  <c r="E9" i="2" s="1"/>
  <c r="B9" i="2"/>
  <c r="C9" i="2"/>
  <c r="D7" i="3"/>
  <c r="F6" i="2" l="1"/>
  <c r="F7" i="2" s="1"/>
  <c r="F9" i="2" s="1"/>
  <c r="G5" i="2"/>
  <c r="G6" i="2" s="1"/>
  <c r="G7" i="2" s="1"/>
  <c r="G9" i="2" s="1"/>
</calcChain>
</file>

<file path=xl/sharedStrings.xml><?xml version="1.0" encoding="utf-8"?>
<sst xmlns="http://schemas.openxmlformats.org/spreadsheetml/2006/main" count="46" uniqueCount="27">
  <si>
    <t>Financial Modeling and Financial Statement
             Analysis of Blackstone Inc.</t>
  </si>
  <si>
    <t>Using Blackstone Annual Report 2025 (FY 2024)</t>
  </si>
  <si>
    <t>Particulars</t>
  </si>
  <si>
    <t>Total Revenue</t>
  </si>
  <si>
    <t>Net Income</t>
  </si>
  <si>
    <t>Total Assets</t>
  </si>
  <si>
    <t>Total Liabilities</t>
  </si>
  <si>
    <t>Total Equity</t>
  </si>
  <si>
    <t>Operating Cash Flow</t>
  </si>
  <si>
    <t>Capital Expenditure</t>
  </si>
  <si>
    <t>—</t>
  </si>
  <si>
    <t>2025E</t>
  </si>
  <si>
    <t>2026E</t>
  </si>
  <si>
    <t>2027E</t>
  </si>
  <si>
    <t>Free Cash Flow</t>
  </si>
  <si>
    <t>Discount Factor</t>
  </si>
  <si>
    <t>Present Value of FCF</t>
  </si>
  <si>
    <t>Terminal Value</t>
  </si>
  <si>
    <t>Present Value of Terminal Value</t>
  </si>
  <si>
    <t>Enterprise Value</t>
  </si>
  <si>
    <t>Historical Data</t>
  </si>
  <si>
    <t>Revenue Growth(%)</t>
  </si>
  <si>
    <t>Net Profit Margin(%)</t>
  </si>
  <si>
    <t>ROA(%)</t>
  </si>
  <si>
    <t>ROE(%)</t>
  </si>
  <si>
    <r>
      <t xml:space="preserve">Operating Cash Flow </t>
    </r>
    <r>
      <rPr>
        <b/>
        <i/>
        <sz val="11"/>
        <color theme="1"/>
        <rFont val="Aptos Narrow"/>
        <family val="2"/>
        <scheme val="minor"/>
      </rPr>
      <t>(Net Cash Provided by Operating Activities)</t>
    </r>
  </si>
  <si>
    <r>
      <t xml:space="preserve">Capital Expenditure </t>
    </r>
    <r>
      <rPr>
        <b/>
        <i/>
        <sz val="11"/>
        <color theme="1"/>
        <rFont val="Aptos Narrow"/>
        <family val="2"/>
        <scheme val="minor"/>
      </rPr>
      <t>(Purchase of Furniture, Equipment and Leasehold Improvements)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</si>
</sst>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8" formatCode="0.0%"/>
    <numFmt numFmtId="169" formatCode="_(* #,##0.000_);_(* \(#,##0.000\);_(* &quot;-&quot;??_);_(@_)"/>
    <numFmt numFmtId="171" formatCode="_(* #,##0_);_(* \(#,##0\);_(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3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8" fontId="0" fillId="0" borderId="1" xfId="2" applyNumberFormat="1" applyFont="1" applyBorder="1" applyAlignment="1">
      <alignment horizontal="center"/>
    </xf>
    <xf numFmtId="168" fontId="4" fillId="0" borderId="1" xfId="2" applyNumberFormat="1" applyFont="1" applyBorder="1" applyAlignment="1">
      <alignment horizontal="center" vertical="center" wrapText="1"/>
    </xf>
    <xf numFmtId="171" fontId="2" fillId="0" borderId="1" xfId="1" applyNumberFormat="1" applyFont="1" applyBorder="1" applyAlignment="1">
      <alignment vertical="center" wrapText="1"/>
    </xf>
    <xf numFmtId="171" fontId="2" fillId="3" borderId="1" xfId="1" applyNumberFormat="1" applyFont="1" applyFill="1" applyBorder="1" applyAlignment="1">
      <alignment horizontal="center" vertical="center" wrapText="1"/>
    </xf>
    <xf numFmtId="9" fontId="2" fillId="0" borderId="1" xfId="1" applyNumberFormat="1" applyFont="1" applyBorder="1" applyAlignment="1">
      <alignment vertical="center" wrapText="1"/>
    </xf>
    <xf numFmtId="171" fontId="0" fillId="0" borderId="1" xfId="1" applyNumberFormat="1" applyFont="1" applyBorder="1" applyAlignment="1">
      <alignment horizontal="center" vertical="center" wrapText="1"/>
    </xf>
    <xf numFmtId="169" fontId="4" fillId="0" borderId="1" xfId="1" applyNumberFormat="1" applyFont="1" applyBorder="1" applyAlignment="1">
      <alignment horizontal="center" vertical="center" wrapText="1"/>
    </xf>
    <xf numFmtId="171" fontId="4" fillId="0" borderId="1" xfId="1" applyNumberFormat="1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0728-B280-4588-839E-C64498F9E574}">
  <dimension ref="A1:E16"/>
  <sheetViews>
    <sheetView tabSelected="1" workbookViewId="0">
      <selection activeCell="A20" sqref="A20"/>
    </sheetView>
  </sheetViews>
  <sheetFormatPr defaultRowHeight="14.4"/>
  <cols>
    <col min="1" max="1" width="48.44140625" customWidth="1"/>
    <col min="2" max="2" width="17.88671875" customWidth="1"/>
    <col min="3" max="3" width="14.44140625" customWidth="1"/>
    <col min="4" max="4" width="15.33203125" customWidth="1"/>
    <col min="5" max="5" width="22.5546875" customWidth="1"/>
  </cols>
  <sheetData>
    <row r="1" spans="1:5" ht="49.2" customHeight="1">
      <c r="A1" s="1" t="s">
        <v>0</v>
      </c>
      <c r="E1" s="4" t="s">
        <v>20</v>
      </c>
    </row>
    <row r="2" spans="1:5">
      <c r="A2" s="2" t="s">
        <v>1</v>
      </c>
    </row>
    <row r="4" spans="1:5">
      <c r="A4" s="5" t="s">
        <v>2</v>
      </c>
      <c r="B4" s="6">
        <v>2022</v>
      </c>
      <c r="C4" s="6">
        <v>2023</v>
      </c>
      <c r="D4" s="6">
        <v>2024</v>
      </c>
    </row>
    <row r="5" spans="1:5">
      <c r="A5" s="7" t="s">
        <v>3</v>
      </c>
      <c r="B5" s="9">
        <v>8517673</v>
      </c>
      <c r="C5" s="9">
        <v>8022841</v>
      </c>
      <c r="D5" s="9">
        <v>13229968</v>
      </c>
    </row>
    <row r="6" spans="1:5">
      <c r="A6" s="7" t="s">
        <v>4</v>
      </c>
      <c r="B6" s="9">
        <v>2988909</v>
      </c>
      <c r="C6" s="9">
        <v>2444253</v>
      </c>
      <c r="D6" s="9">
        <v>5437809</v>
      </c>
    </row>
    <row r="7" spans="1:5">
      <c r="A7" s="7" t="s">
        <v>5</v>
      </c>
      <c r="B7" s="10" t="s">
        <v>10</v>
      </c>
      <c r="C7" s="9">
        <v>40287530</v>
      </c>
      <c r="D7" s="9">
        <v>43469875</v>
      </c>
    </row>
    <row r="8" spans="1:5">
      <c r="A8" s="7" t="s">
        <v>6</v>
      </c>
      <c r="B8" s="10" t="s">
        <v>10</v>
      </c>
      <c r="C8" s="9">
        <v>22277258</v>
      </c>
      <c r="D8" s="9">
        <v>23794860</v>
      </c>
    </row>
    <row r="9" spans="1:5">
      <c r="A9" s="7" t="s">
        <v>7</v>
      </c>
      <c r="B9" s="10" t="s">
        <v>10</v>
      </c>
      <c r="C9" s="9">
        <v>16896141</v>
      </c>
      <c r="D9" s="9">
        <v>18693616</v>
      </c>
    </row>
    <row r="10" spans="1:5" ht="28.8">
      <c r="A10" s="7" t="s">
        <v>25</v>
      </c>
      <c r="B10" s="9">
        <v>6336253</v>
      </c>
      <c r="C10" s="9">
        <v>4056906</v>
      </c>
      <c r="D10" s="9">
        <v>3481662</v>
      </c>
    </row>
    <row r="11" spans="1:5" ht="28.8">
      <c r="A11" s="7" t="s">
        <v>26</v>
      </c>
      <c r="B11" s="9">
        <v>235497</v>
      </c>
      <c r="C11" s="9">
        <v>224231</v>
      </c>
      <c r="D11" s="9">
        <v>61409</v>
      </c>
    </row>
    <row r="12" spans="1:5">
      <c r="A12" s="8"/>
      <c r="B12" s="11"/>
      <c r="C12" s="11"/>
      <c r="D12" s="11"/>
    </row>
    <row r="13" spans="1:5">
      <c r="A13" s="7" t="s">
        <v>21</v>
      </c>
      <c r="B13" s="12">
        <f>B6/B5</f>
        <v>0.35090675587099907</v>
      </c>
      <c r="C13" s="13">
        <f>(C5-B5)/B5</f>
        <v>-5.8094740194886564E-2</v>
      </c>
      <c r="D13" s="13">
        <f>(D5-C5)/C5</f>
        <v>0.64903779097703673</v>
      </c>
    </row>
    <row r="14" spans="1:5">
      <c r="A14" s="7" t="s">
        <v>22</v>
      </c>
      <c r="B14" s="11" t="s">
        <v>10</v>
      </c>
      <c r="C14" s="13">
        <f>C6/C5</f>
        <v>0.30466177754239426</v>
      </c>
      <c r="D14" s="13">
        <f>D6/D5</f>
        <v>0.4110220825930947</v>
      </c>
    </row>
    <row r="15" spans="1:5">
      <c r="A15" s="7" t="s">
        <v>23</v>
      </c>
      <c r="B15" s="11" t="s">
        <v>10</v>
      </c>
      <c r="C15" s="13">
        <f>C6/C7</f>
        <v>6.0670212346103126E-2</v>
      </c>
      <c r="D15" s="13">
        <f>D6/D7</f>
        <v>0.12509373445403282</v>
      </c>
    </row>
    <row r="16" spans="1:5">
      <c r="A16" s="7" t="s">
        <v>24</v>
      </c>
      <c r="B16" s="11" t="s">
        <v>10</v>
      </c>
      <c r="C16" s="13">
        <f>C6/C9</f>
        <v>0.14466338792982375</v>
      </c>
      <c r="D16" s="13">
        <f>D6/D9</f>
        <v>0.29089123260047706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976C-AE1E-4FF1-842C-845B608889E1}">
  <dimension ref="A4:G9"/>
  <sheetViews>
    <sheetView workbookViewId="0">
      <selection activeCell="C14" sqref="C14"/>
    </sheetView>
  </sheetViews>
  <sheetFormatPr defaultRowHeight="14.4"/>
  <cols>
    <col min="1" max="1" width="23.44140625" customWidth="1"/>
    <col min="2" max="2" width="25.109375" customWidth="1"/>
    <col min="3" max="3" width="14.44140625" customWidth="1"/>
    <col min="4" max="4" width="13.5546875" customWidth="1"/>
    <col min="5" max="5" width="16.77734375" customWidth="1"/>
    <col min="6" max="6" width="14.77734375" customWidth="1"/>
    <col min="7" max="7" width="16.5546875" customWidth="1"/>
  </cols>
  <sheetData>
    <row r="4" spans="1:7">
      <c r="A4" s="5" t="s">
        <v>2</v>
      </c>
      <c r="B4" s="5">
        <v>2022</v>
      </c>
      <c r="C4" s="5">
        <v>2023</v>
      </c>
      <c r="D4" s="5">
        <v>2024</v>
      </c>
      <c r="E4" s="6" t="s">
        <v>11</v>
      </c>
      <c r="F4" s="6" t="s">
        <v>12</v>
      </c>
      <c r="G4" s="6" t="s">
        <v>13</v>
      </c>
    </row>
    <row r="5" spans="1:7" s="3" customFormat="1">
      <c r="A5" s="7" t="s">
        <v>3</v>
      </c>
      <c r="B5" s="19">
        <f>Sheet1!B5</f>
        <v>8517673</v>
      </c>
      <c r="C5" s="19">
        <f>Sheet1!C5</f>
        <v>8022841</v>
      </c>
      <c r="D5" s="19">
        <f>Sheet1!D5</f>
        <v>13229968</v>
      </c>
      <c r="E5" s="19">
        <f>D5*1.1</f>
        <v>14552964.800000001</v>
      </c>
      <c r="F5" s="19">
        <f>E5*1.1</f>
        <v>16008261.280000001</v>
      </c>
      <c r="G5" s="19">
        <f>F5*1.1</f>
        <v>17609087.408000004</v>
      </c>
    </row>
    <row r="6" spans="1:7" s="3" customFormat="1">
      <c r="A6" s="7" t="s">
        <v>4</v>
      </c>
      <c r="B6" s="19">
        <f>Sheet1!B6</f>
        <v>2988909</v>
      </c>
      <c r="C6" s="19">
        <f>Sheet1!C6</f>
        <v>2444253</v>
      </c>
      <c r="D6" s="19">
        <f>Sheet1!D6</f>
        <v>5437809</v>
      </c>
      <c r="E6" s="19">
        <f>E5*41.1%</f>
        <v>5981268.5328000011</v>
      </c>
      <c r="F6" s="19">
        <f>F5*41.1%</f>
        <v>6579395.3860800005</v>
      </c>
      <c r="G6" s="19">
        <f>G5*41.1%</f>
        <v>7237334.9246880021</v>
      </c>
    </row>
    <row r="7" spans="1:7" s="3" customFormat="1">
      <c r="A7" s="7" t="s">
        <v>8</v>
      </c>
      <c r="B7" s="19">
        <f>Sheet1!B10</f>
        <v>6336253</v>
      </c>
      <c r="C7" s="19">
        <f>Sheet1!C10</f>
        <v>4056906</v>
      </c>
      <c r="D7" s="19">
        <f>Sheet1!D10</f>
        <v>3481662</v>
      </c>
      <c r="E7" s="19">
        <f>E6*64%</f>
        <v>3828011.8609920009</v>
      </c>
      <c r="F7" s="19">
        <f>F6*64%</f>
        <v>4210813.0470912</v>
      </c>
      <c r="G7" s="19">
        <f>G6*64%</f>
        <v>4631894.3518003216</v>
      </c>
    </row>
    <row r="8" spans="1:7" s="3" customFormat="1">
      <c r="A8" s="7" t="s">
        <v>9</v>
      </c>
      <c r="B8" s="19">
        <f>Sheet1!B11</f>
        <v>235497</v>
      </c>
      <c r="C8" s="19">
        <f>Sheet1!C11</f>
        <v>224231</v>
      </c>
      <c r="D8" s="19">
        <f>Sheet1!D11</f>
        <v>61409</v>
      </c>
      <c r="E8" s="19">
        <f>D8*1.05</f>
        <v>64479.450000000004</v>
      </c>
      <c r="F8" s="19">
        <f>E8*1.05</f>
        <v>67703.422500000001</v>
      </c>
      <c r="G8" s="19">
        <f>F8*1.05</f>
        <v>71088.593625000009</v>
      </c>
    </row>
    <row r="9" spans="1:7" s="3" customFormat="1">
      <c r="A9" s="7" t="s">
        <v>14</v>
      </c>
      <c r="B9" s="19">
        <f>B7-B8</f>
        <v>6100756</v>
      </c>
      <c r="C9" s="19">
        <f>C7-C8</f>
        <v>3832675</v>
      </c>
      <c r="D9" s="19">
        <f>D7-D8</f>
        <v>3420253</v>
      </c>
      <c r="E9" s="19">
        <f>E7-E8</f>
        <v>3763532.4109920007</v>
      </c>
      <c r="F9" s="19">
        <f>F7-F8</f>
        <v>4143109.6245912001</v>
      </c>
      <c r="G9" s="19">
        <f>G7-G8</f>
        <v>4560805.7581753219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C367-313B-463D-9922-F24761736855}">
  <dimension ref="A1:D7"/>
  <sheetViews>
    <sheetView workbookViewId="0">
      <selection activeCell="B3" sqref="B3"/>
    </sheetView>
  </sheetViews>
  <sheetFormatPr defaultRowHeight="14.4"/>
  <cols>
    <col min="1" max="1" width="35.21875" customWidth="1"/>
    <col min="2" max="2" width="18.21875" customWidth="1"/>
    <col min="3" max="3" width="20.5546875" customWidth="1"/>
    <col min="4" max="4" width="18.21875" customWidth="1"/>
  </cols>
  <sheetData>
    <row r="1" spans="1:4" s="3" customFormat="1">
      <c r="A1" s="15" t="s">
        <v>2</v>
      </c>
      <c r="B1" s="15" t="s">
        <v>11</v>
      </c>
      <c r="C1" s="15" t="s">
        <v>12</v>
      </c>
      <c r="D1" s="15" t="s">
        <v>13</v>
      </c>
    </row>
    <row r="2" spans="1:4" s="3" customFormat="1">
      <c r="A2" s="14" t="s">
        <v>14</v>
      </c>
      <c r="B2" s="17">
        <v>3763532</v>
      </c>
      <c r="C2" s="17">
        <v>4143110</v>
      </c>
      <c r="D2" s="17">
        <v>4560806</v>
      </c>
    </row>
    <row r="3" spans="1:4" s="3" customFormat="1">
      <c r="A3" s="14" t="s">
        <v>15</v>
      </c>
      <c r="B3" s="18">
        <f>1/(1+10%)^1</f>
        <v>0.90909090909090906</v>
      </c>
      <c r="C3" s="18">
        <f>1/(1+10%)^2</f>
        <v>0.82644628099173545</v>
      </c>
      <c r="D3" s="18">
        <f>1/(1+10%)^3</f>
        <v>0.75131480090157754</v>
      </c>
    </row>
    <row r="4" spans="1:4" s="3" customFormat="1">
      <c r="A4" s="14" t="s">
        <v>16</v>
      </c>
      <c r="B4" s="19">
        <f>B2*B3</f>
        <v>3421392.7272727271</v>
      </c>
      <c r="C4" s="19">
        <f>C2*C3</f>
        <v>3424057.8512396691</v>
      </c>
      <c r="D4" s="19">
        <f>D2*D3</f>
        <v>3426601.0518407202</v>
      </c>
    </row>
    <row r="5" spans="1:4" s="3" customFormat="1">
      <c r="A5" s="14" t="s">
        <v>17</v>
      </c>
      <c r="B5" s="17" t="s">
        <v>10</v>
      </c>
      <c r="C5" s="17" t="s">
        <v>10</v>
      </c>
      <c r="D5" s="19">
        <f>D2*(1+3%)/(10%-3%)</f>
        <v>67109002.571428567</v>
      </c>
    </row>
    <row r="6" spans="1:4" s="3" customFormat="1">
      <c r="A6" s="16" t="s">
        <v>18</v>
      </c>
      <c r="B6" s="17" t="s">
        <v>10</v>
      </c>
      <c r="C6" s="17" t="s">
        <v>10</v>
      </c>
      <c r="D6" s="19">
        <f>D5*D3</f>
        <v>50419986.905656308</v>
      </c>
    </row>
    <row r="7" spans="1:4" s="3" customFormat="1">
      <c r="A7" s="14" t="s">
        <v>19</v>
      </c>
      <c r="B7" s="17" t="s">
        <v>10</v>
      </c>
      <c r="C7" s="17" t="s">
        <v>10</v>
      </c>
      <c r="D7" s="19">
        <f>SUM(B4:D4)+D6</f>
        <v>60692038.536009423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Forecast Model</vt:lpstr>
      <vt:lpstr>DCF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Erico Marak</dc:creator>
  <cp:lastModifiedBy>Erico Marak</cp:lastModifiedBy>
  <dcterms:created xsi:type="dcterms:W3CDTF">2026-06-28T15:18:59Z</dcterms:created>
  <dcterms:modified xsi:type="dcterms:W3CDTF">2026-06-28T16:47:53Z</dcterms:modified>
</cp:coreProperties>
</file>